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30 M Genomics\validation\RCT\PGx algorithm\"/>
    </mc:Choice>
  </mc:AlternateContent>
  <xr:revisionPtr revIDLastSave="0" documentId="13_ncr:1_{FCDEDD20-2D5A-4409-958E-7F8A8A46B1B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Warfarin_Algorithms" sheetId="1" r:id="rId1"/>
    <sheet name="Coding_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1" l="1"/>
  <c r="B31" i="1"/>
  <c r="B33" i="1"/>
  <c r="C31" i="1"/>
  <c r="B7" i="1"/>
  <c r="B6" i="1"/>
  <c r="B32" i="1" s="1"/>
  <c r="C24" i="1"/>
  <c r="D29" i="1"/>
  <c r="C29" i="1"/>
  <c r="D28" i="1"/>
  <c r="C28" i="1"/>
  <c r="C27" i="1"/>
  <c r="C26" i="1"/>
  <c r="D25" i="1"/>
  <c r="C25" i="1"/>
  <c r="F24" i="1"/>
  <c r="E24" i="1"/>
  <c r="D24" i="1"/>
  <c r="C34" i="1" l="1"/>
  <c r="C32" i="1"/>
  <c r="C33" i="1"/>
</calcChain>
</file>

<file path=xl/sharedStrings.xml><?xml version="1.0" encoding="utf-8"?>
<sst xmlns="http://schemas.openxmlformats.org/spreadsheetml/2006/main" count="140" uniqueCount="110">
  <si>
    <t>Age_years</t>
  </si>
  <si>
    <t>Gender_code (1=male, 0=female)</t>
  </si>
  <si>
    <t>Height_cm</t>
  </si>
  <si>
    <t>Weight_kg</t>
  </si>
  <si>
    <t>BMI</t>
  </si>
  <si>
    <t>BodySurfaceArea (enter m^2)</t>
  </si>
  <si>
    <t>Smoking_status (1=smoker, 0=non-smoker)</t>
  </si>
  <si>
    <t>Diet_code (Gaikwad: 1=high Vit K, 0=normal)</t>
  </si>
  <si>
    <t>Vitamin_K_intake (Pavani: 1=high, 0=normal)</t>
  </si>
  <si>
    <t>Clinical_condition_code (Kumar)</t>
  </si>
  <si>
    <t>Indication_term (Rathore: 0.327 DVR, -0.092 AVR, else 0)</t>
  </si>
  <si>
    <t>VKORC1 rs9923231 code</t>
  </si>
  <si>
    <t>VKORC1 rs7294 code</t>
  </si>
  <si>
    <t>VKORC1 rs9934438 code</t>
  </si>
  <si>
    <t>VKORC1 rs2359612 code</t>
  </si>
  <si>
    <t>CYP2C9*2 code</t>
  </si>
  <si>
    <t>CYP2C9*3 code</t>
  </si>
  <si>
    <t>CYP4F2 rs2108622 code</t>
  </si>
  <si>
    <t>GGCX rs11676382 code</t>
  </si>
  <si>
    <t>VKORC1*4 code</t>
  </si>
  <si>
    <t>Gaikwad CYP2C9 indicators</t>
  </si>
  <si>
    <t>CYP2C9 diplotype (Gaikwad)</t>
  </si>
  <si>
    <t>*1/*1</t>
  </si>
  <si>
    <t>VKORC1 genotype (GG/GA/AA)</t>
  </si>
  <si>
    <t>GG</t>
  </si>
  <si>
    <t>CYP2C9*2 genotype (CC/CT/TT)</t>
  </si>
  <si>
    <t>CC</t>
  </si>
  <si>
    <t>CYP2C9*3 genotype (AA/AC/CC)</t>
  </si>
  <si>
    <t>AA</t>
  </si>
  <si>
    <t>CYP4F2 genotype (GG/GA/AA)</t>
  </si>
  <si>
    <t>GGCX genotype (CC/CG/GG)</t>
  </si>
  <si>
    <t>Kumar et al. dose (mg/day)</t>
  </si>
  <si>
    <t>Pavani et al. dose (mg/day)</t>
  </si>
  <si>
    <t>Gaikwad et al. dose (mg/day)</t>
  </si>
  <si>
    <t>Rathore et al. dose (mg/day)</t>
  </si>
  <si>
    <t>Parameter</t>
  </si>
  <si>
    <t>Gene/rsID</t>
  </si>
  <si>
    <t>Allowed entries / dropdown</t>
  </si>
  <si>
    <t>Numeric code mapping</t>
  </si>
  <si>
    <t>Notes</t>
  </si>
  <si>
    <t>VKORC1 rs9923231</t>
  </si>
  <si>
    <t>0,1,2</t>
  </si>
  <si>
    <t>0=GG, 1=GA, 2=AA</t>
  </si>
  <si>
    <t>Used in Kumar &amp; Pavani; 0/1/2 = number of variant (A) alleles, adjust if paper defines differently.</t>
  </si>
  <si>
    <t>VKORC1 rs7294</t>
  </si>
  <si>
    <t>0=CC, 1=CT, 2=TT</t>
  </si>
  <si>
    <t>Positive coefficient in Kumar &amp; Pavani; higher code → higher dose.</t>
  </si>
  <si>
    <t>VKORC1 rs9934438</t>
  </si>
  <si>
    <t>Linked to rs9923231; higher code usually → lower dose (negative beta).</t>
  </si>
  <si>
    <t>VKORC1 rs2359612</t>
  </si>
  <si>
    <t>0=TT, 1=TC, 2=CC</t>
  </si>
  <si>
    <t>Also in strong LD with VKORC1 promoter variants.</t>
  </si>
  <si>
    <t>CYP2C9*2 rs1799853</t>
  </si>
  <si>
    <t>0=*1/*1, 1=*1/*2, 2=*2/*2</t>
  </si>
  <si>
    <t>Higher code = poorer metabolism.</t>
  </si>
  <si>
    <t>CYP2C9*3 rs1057910</t>
  </si>
  <si>
    <t>0=*1/*1, 1=*1/*3, 2=*3/*3</t>
  </si>
  <si>
    <t>Strong effect on metabolism; major dose reduction.</t>
  </si>
  <si>
    <t>CYP4F2 rs2108622</t>
  </si>
  <si>
    <t>A allele (Met) → slightly higher warfarin dose.</t>
  </si>
  <si>
    <t>GGCX rs11676382</t>
  </si>
  <si>
    <t>0=CC, 1=CG, 2=GG</t>
  </si>
  <si>
    <t>Variant alleles increase sensitivity → lower dose.</t>
  </si>
  <si>
    <t>VKORC1*4</t>
  </si>
  <si>
    <t>0=no *4, 1=heterozygous, 2=homozygous</t>
  </si>
  <si>
    <t>As defined in Pavani et al; set to 0 if not genotyped.</t>
  </si>
  <si>
    <t>Gender_code</t>
  </si>
  <si>
    <t>Clinical</t>
  </si>
  <si>
    <t>0,1</t>
  </si>
  <si>
    <t>0=female, 1=male</t>
  </si>
  <si>
    <t>Used in Pavani &amp; Rathore algorithms.</t>
  </si>
  <si>
    <t>Smoking_status</t>
  </si>
  <si>
    <t>0=non-smoker, 1=smoker</t>
  </si>
  <si>
    <t>Used in Rathore; smoking reduces dose slightly in that model.</t>
  </si>
  <si>
    <t>Diet_code (Gaikwad)</t>
  </si>
  <si>
    <t>0=normal diet, 1=high vitamin K</t>
  </si>
  <si>
    <t>Higher vitamin K intake increases warfarin dose.</t>
  </si>
  <si>
    <t>Vitamin_K_intake (Pavani)</t>
  </si>
  <si>
    <t>0=normal, 1=high</t>
  </si>
  <si>
    <t>Higher intake reduces predicted weekly dose in Pavani equation.</t>
  </si>
  <si>
    <t>CYP2C9</t>
  </si>
  <si>
    <t>*1/*1,*1/*2,*1/*3,*2/*3,*3/*3</t>
  </si>
  <si>
    <t>Internal helper cells convert to indicators</t>
  </si>
  <si>
    <t>Only these diplotypes are modeled explicitly.</t>
  </si>
  <si>
    <t>VKORC1 genotype (Rathore)</t>
  </si>
  <si>
    <t>VKORC1</t>
  </si>
  <si>
    <t>GG,GA,AA</t>
  </si>
  <si>
    <t>Indicators for GA &amp; AA</t>
  </si>
  <si>
    <t>GG as reference; GA and AA decrease dose.</t>
  </si>
  <si>
    <t>CYP2C9*2 genotype (Rathore)</t>
  </si>
  <si>
    <t>CYP2C9*2</t>
  </si>
  <si>
    <t>CC,CT,TT</t>
  </si>
  <si>
    <t>Indicator for CT</t>
  </si>
  <si>
    <t>CT reduces dose; TT not directly modeled (treat with caution).</t>
  </si>
  <si>
    <t>CYP2C9*3 genotype (Rathore)</t>
  </si>
  <si>
    <t>CYP2C9*3</t>
  </si>
  <si>
    <t>AA,AC,CC</t>
  </si>
  <si>
    <t>Indicator for AC</t>
  </si>
  <si>
    <t>AC reduces dose; CC not directly modeled (treat with caution).</t>
  </si>
  <si>
    <t>CYP4F2 genotype (Rathore)</t>
  </si>
  <si>
    <t>CYP4F2</t>
  </si>
  <si>
    <t>GA/AA increase dose vs GG.</t>
  </si>
  <si>
    <t>GGCX genotype (Rathore)</t>
  </si>
  <si>
    <t>GGCX</t>
  </si>
  <si>
    <t>CC,CG,GG</t>
  </si>
  <si>
    <t>Indicators for CG &amp; GG</t>
  </si>
  <si>
    <t>CG/GG increase dose vs CC.</t>
  </si>
  <si>
    <t>PARAMETERS</t>
  </si>
  <si>
    <t>VALUE</t>
  </si>
  <si>
    <t>In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</si>
</sst>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8" workbookViewId="0">
      <selection activeCell="B34" sqref="B34"/>
    </sheetView>
  </sheetViews>
  <sheetFormatPr defaultRowHeight="14.4" x14ac:dyDescent="0.3"/>
  <cols>
    <col min="1" max="1" width="48" bestFit="1" customWidth="1"/>
    <col min="2" max="7" width="32" customWidth="1"/>
  </cols>
  <sheetData>
    <row r="1" spans="1:2" x14ac:dyDescent="0.3">
      <c r="A1" s="1" t="s">
        <v>107</v>
      </c>
      <c r="B1" s="1" t="s">
        <v>108</v>
      </c>
    </row>
    <row r="2" spans="1:2" x14ac:dyDescent="0.3">
      <c r="A2" t="s">
        <v>0</v>
      </c>
      <c r="B2" s="2">
        <v>50</v>
      </c>
    </row>
    <row r="3" spans="1:2" x14ac:dyDescent="0.3">
      <c r="A3" t="s">
        <v>1</v>
      </c>
      <c r="B3" s="2">
        <v>1</v>
      </c>
    </row>
    <row r="4" spans="1:2" x14ac:dyDescent="0.3">
      <c r="A4" t="s">
        <v>2</v>
      </c>
      <c r="B4" s="2">
        <v>150</v>
      </c>
    </row>
    <row r="5" spans="1:2" x14ac:dyDescent="0.3">
      <c r="A5" t="s">
        <v>3</v>
      </c>
      <c r="B5" s="2">
        <v>60</v>
      </c>
    </row>
    <row r="6" spans="1:2" x14ac:dyDescent="0.3">
      <c r="A6" t="s">
        <v>4</v>
      </c>
      <c r="B6">
        <f>B5/(B4/100)^2</f>
        <v>26.666666666666668</v>
      </c>
    </row>
    <row r="7" spans="1:2" x14ac:dyDescent="0.3">
      <c r="A7" t="s">
        <v>5</v>
      </c>
      <c r="B7">
        <f>SQRT((B4 * B5) / 3600)</f>
        <v>1.5811388300841898</v>
      </c>
    </row>
    <row r="8" spans="1:2" x14ac:dyDescent="0.3">
      <c r="A8" t="s">
        <v>6</v>
      </c>
      <c r="B8" s="2">
        <v>0</v>
      </c>
    </row>
    <row r="9" spans="1:2" x14ac:dyDescent="0.3">
      <c r="A9" t="s">
        <v>7</v>
      </c>
      <c r="B9" s="2">
        <v>0</v>
      </c>
    </row>
    <row r="10" spans="1:2" x14ac:dyDescent="0.3">
      <c r="A10" t="s">
        <v>8</v>
      </c>
      <c r="B10" s="2">
        <v>0</v>
      </c>
    </row>
    <row r="11" spans="1:2" x14ac:dyDescent="0.3">
      <c r="A11" t="s">
        <v>9</v>
      </c>
      <c r="B11" s="2">
        <v>0</v>
      </c>
    </row>
    <row r="12" spans="1:2" x14ac:dyDescent="0.3">
      <c r="A12" t="s">
        <v>10</v>
      </c>
      <c r="B12" s="2">
        <v>0</v>
      </c>
    </row>
    <row r="14" spans="1:2" x14ac:dyDescent="0.3">
      <c r="A14" t="s">
        <v>11</v>
      </c>
      <c r="B14" s="2">
        <v>0</v>
      </c>
    </row>
    <row r="15" spans="1:2" x14ac:dyDescent="0.3">
      <c r="A15" t="s">
        <v>12</v>
      </c>
      <c r="B15" s="2">
        <v>0</v>
      </c>
    </row>
    <row r="16" spans="1:2" x14ac:dyDescent="0.3">
      <c r="A16" t="s">
        <v>13</v>
      </c>
      <c r="B16" s="2">
        <v>0</v>
      </c>
    </row>
    <row r="17" spans="1:6" x14ac:dyDescent="0.3">
      <c r="A17" t="s">
        <v>14</v>
      </c>
      <c r="B17" s="2">
        <v>0</v>
      </c>
    </row>
    <row r="18" spans="1:6" x14ac:dyDescent="0.3">
      <c r="A18" t="s">
        <v>15</v>
      </c>
      <c r="B18" s="2">
        <v>0</v>
      </c>
    </row>
    <row r="19" spans="1:6" x14ac:dyDescent="0.3">
      <c r="A19" t="s">
        <v>16</v>
      </c>
      <c r="B19" s="2">
        <v>0</v>
      </c>
    </row>
    <row r="20" spans="1:6" x14ac:dyDescent="0.3">
      <c r="A20" t="s">
        <v>17</v>
      </c>
      <c r="B20" s="2">
        <v>0</v>
      </c>
    </row>
    <row r="21" spans="1:6" x14ac:dyDescent="0.3">
      <c r="A21" t="s">
        <v>18</v>
      </c>
      <c r="B21" s="2">
        <v>0</v>
      </c>
    </row>
    <row r="22" spans="1:6" x14ac:dyDescent="0.3">
      <c r="A22" t="s">
        <v>19</v>
      </c>
      <c r="B22" s="2">
        <v>0</v>
      </c>
    </row>
    <row r="23" spans="1:6" x14ac:dyDescent="0.3">
      <c r="C23" t="s">
        <v>20</v>
      </c>
    </row>
    <row r="24" spans="1:6" x14ac:dyDescent="0.3">
      <c r="A24" t="s">
        <v>21</v>
      </c>
      <c r="B24" s="2" t="s">
        <v>22</v>
      </c>
      <c r="C24">
        <f>IF($B$24="*1/*2",1,0)</f>
        <v>0</v>
      </c>
      <c r="D24">
        <f>IF($B$24="*1/*3",1,0)</f>
        <v>0</v>
      </c>
      <c r="E24">
        <f>IF($B$24="*2/*3",1,0)</f>
        <v>0</v>
      </c>
      <c r="F24">
        <f>IF($B$24="*3/*3",1,0)</f>
        <v>0</v>
      </c>
    </row>
    <row r="25" spans="1:6" x14ac:dyDescent="0.3">
      <c r="A25" t="s">
        <v>23</v>
      </c>
      <c r="B25" s="2" t="s">
        <v>24</v>
      </c>
      <c r="C25">
        <f>IF($B$25="GA",1,0)</f>
        <v>0</v>
      </c>
      <c r="D25">
        <f>IF($B$25="AA",1,0)</f>
        <v>0</v>
      </c>
    </row>
    <row r="26" spans="1:6" x14ac:dyDescent="0.3">
      <c r="A26" t="s">
        <v>25</v>
      </c>
      <c r="B26" s="2" t="s">
        <v>26</v>
      </c>
      <c r="C26">
        <f>IF($B$26="CT",1,0)</f>
        <v>0</v>
      </c>
    </row>
    <row r="27" spans="1:6" x14ac:dyDescent="0.3">
      <c r="A27" t="s">
        <v>27</v>
      </c>
      <c r="B27" s="2" t="s">
        <v>28</v>
      </c>
      <c r="C27">
        <f>IF($B$27="AC",1,0)</f>
        <v>0</v>
      </c>
    </row>
    <row r="28" spans="1:6" x14ac:dyDescent="0.3">
      <c r="A28" t="s">
        <v>29</v>
      </c>
      <c r="B28" s="2" t="s">
        <v>24</v>
      </c>
      <c r="C28">
        <f>IF($B$28="GA",1,0)</f>
        <v>0</v>
      </c>
      <c r="D28">
        <f>IF($B$28="AA",1,0)</f>
        <v>0</v>
      </c>
    </row>
    <row r="29" spans="1:6" x14ac:dyDescent="0.3">
      <c r="A29" t="s">
        <v>30</v>
      </c>
      <c r="B29" s="2" t="s">
        <v>26</v>
      </c>
      <c r="C29">
        <f>IF($B$29="CG",1,0)</f>
        <v>0</v>
      </c>
      <c r="D29">
        <f>IF($B$29="GG",1,0)</f>
        <v>0</v>
      </c>
    </row>
    <row r="30" spans="1:6" x14ac:dyDescent="0.3">
      <c r="C30" t="s">
        <v>109</v>
      </c>
    </row>
    <row r="31" spans="1:6" x14ac:dyDescent="0.3">
      <c r="A31" t="s">
        <v>31</v>
      </c>
      <c r="B31">
        <f>10^(0.656-0.187*B14+0.003*B5-0.196*B19-0.144*B18+0.083*B15-0.003*B2+0.033*B20+0.037*B11-0.074*B16-0.097*B17-0.13*B21)</f>
        <v>4.8528850016212122</v>
      </c>
      <c r="C31" t="str">
        <f>IF(OR(B31="",ISERROR(B31)),"",IF(AND(B31&gt;=0.5,B31&lt;=10),"OK","Check"))</f>
        <v>OK</v>
      </c>
    </row>
    <row r="32" spans="1:6" x14ac:dyDescent="0.3">
      <c r="A32" t="s">
        <v>32</v>
      </c>
      <c r="B32">
        <f>(-0.185*B2+8.107*B3+0.139*B6+6.698*B18-8.276*B19-10.727*B15+8.873*B22+11.149*B14-4.825*B10+34.959)/7</f>
        <v>5.360380952380952</v>
      </c>
      <c r="C32" t="str">
        <f>IF(OR(B32="",ISERROR(B32)),"",IF(AND(B32&gt;=0.5,B32&lt;=10),"OK","Check"))</f>
        <v>OK</v>
      </c>
    </row>
    <row r="33" spans="1:3" x14ac:dyDescent="0.3">
      <c r="A33" t="s">
        <v>33</v>
      </c>
      <c r="B33">
        <f>(2.61-0.41*B14-0.21*C24-0.58*D24-0.86*E24-0.86*F24-0.002*B2-0.08*B9)^2</f>
        <v>6.3000999999999987</v>
      </c>
      <c r="C33" t="str">
        <f>IF(OR(B33="",ISERROR(B33)),"",IF(AND(B33&gt;=0.5,B33&lt;=10),"OK","Check"))</f>
        <v>OK</v>
      </c>
    </row>
    <row r="34" spans="1:3" x14ac:dyDescent="0.3">
      <c r="A34" t="s">
        <v>34</v>
      </c>
      <c r="B34">
        <f>3.082-0.013*B8-0.433*B3-0.004*B2+B12+0.026*B4+0.151*B5-7.66*B7-0.862*C25-2.257*D25-0.049*C26-0.456*C27+0.449*C28+0.23*D28+0.245*C29+1.055*D29</f>
        <v>3.297476561555106</v>
      </c>
      <c r="C34" t="str">
        <f>IF(OR(B34="",ISERROR(B34)),"",IF(AND(B34&gt;=0.5,B34&lt;=10),"OK","Check"))</f>
        <v>OK</v>
      </c>
    </row>
  </sheetData>
  <conditionalFormatting sqref="B31">
    <cfRule type="cellIs" dxfId="5" priority="1" operator="between">
      <formula>0.5</formula>
      <formula>10</formula>
    </cfRule>
    <cfRule type="cellIs" dxfId="4" priority="2" operator="lessThan">
      <formula>0.5</formula>
    </cfRule>
    <cfRule type="cellIs" dxfId="3" priority="3" operator="greaterThan">
      <formula>10</formula>
    </cfRule>
  </conditionalFormatting>
  <conditionalFormatting sqref="B32:B34">
    <cfRule type="cellIs" dxfId="2" priority="4" operator="between">
      <formula>0.5</formula>
      <formula>10</formula>
    </cfRule>
    <cfRule type="cellIs" dxfId="1" priority="5" operator="lessThan">
      <formula>0.5</formula>
    </cfRule>
    <cfRule type="cellIs" dxfId="0" priority="6" operator="greaterThan">
      <formula>10</formula>
    </cfRule>
  </conditionalFormatting>
  <dataValidations count="7">
    <dataValidation type="list" allowBlank="1" showInputMessage="1" showErrorMessage="1" sqref="B14 B15 B16 B17 B18 B19 B20 B21 B22" xr:uid="{00000000-0002-0000-0000-000000000000}">
      <formula1>"0,1,2"</formula1>
    </dataValidation>
    <dataValidation type="list" allowBlank="1" showInputMessage="1" showErrorMessage="1" sqref="B3 B8:B12" xr:uid="{00000000-0002-0000-0000-000001000000}">
      <formula1>"0,1"</formula1>
    </dataValidation>
    <dataValidation type="list" allowBlank="1" showInputMessage="1" showErrorMessage="1" sqref="B24" xr:uid="{00000000-0002-0000-0000-000002000000}">
      <formula1>"*1/*1,*1/*2,*1/*3,*2/*3,*3/*3"</formula1>
    </dataValidation>
    <dataValidation type="list" allowBlank="1" showInputMessage="1" showErrorMessage="1" sqref="B25 B28" xr:uid="{00000000-0002-0000-0000-000003000000}">
      <formula1>"GG,GA,AA"</formula1>
    </dataValidation>
    <dataValidation type="list" allowBlank="1" showInputMessage="1" showErrorMessage="1" sqref="B26" xr:uid="{00000000-0002-0000-0000-000004000000}">
      <formula1>"CC,CT,TT"</formula1>
    </dataValidation>
    <dataValidation type="list" allowBlank="1" showInputMessage="1" showErrorMessage="1" sqref="B27" xr:uid="{00000000-0002-0000-0000-000005000000}">
      <formula1>"AA,AC,CC"</formula1>
    </dataValidation>
    <dataValidation type="list" allowBlank="1" showInputMessage="1" showErrorMessage="1" sqref="B29" xr:uid="{00000000-0002-0000-0000-000007000000}">
      <formula1>"CC,CG,GG"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D11" sqref="D11"/>
    </sheetView>
  </sheetViews>
  <sheetFormatPr defaultRowHeight="14.4" x14ac:dyDescent="0.3"/>
  <cols>
    <col min="1" max="5" width="30" customWidth="1"/>
  </cols>
  <sheetData>
    <row r="1" spans="1:5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3">
      <c r="A2" t="s">
        <v>11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3">
      <c r="A3" t="s">
        <v>12</v>
      </c>
      <c r="B3" t="s">
        <v>44</v>
      </c>
      <c r="C3" t="s">
        <v>41</v>
      </c>
      <c r="D3" t="s">
        <v>45</v>
      </c>
      <c r="E3" t="s">
        <v>46</v>
      </c>
    </row>
    <row r="4" spans="1:5" x14ac:dyDescent="0.3">
      <c r="A4" t="s">
        <v>13</v>
      </c>
      <c r="B4" t="s">
        <v>47</v>
      </c>
      <c r="C4" t="s">
        <v>41</v>
      </c>
      <c r="D4" t="s">
        <v>45</v>
      </c>
      <c r="E4" t="s">
        <v>48</v>
      </c>
    </row>
    <row r="5" spans="1:5" x14ac:dyDescent="0.3">
      <c r="A5" t="s">
        <v>14</v>
      </c>
      <c r="B5" t="s">
        <v>49</v>
      </c>
      <c r="C5" t="s">
        <v>41</v>
      </c>
      <c r="D5" t="s">
        <v>50</v>
      </c>
      <c r="E5" t="s">
        <v>51</v>
      </c>
    </row>
    <row r="6" spans="1:5" x14ac:dyDescent="0.3">
      <c r="A6" t="s">
        <v>15</v>
      </c>
      <c r="B6" t="s">
        <v>52</v>
      </c>
      <c r="C6" t="s">
        <v>41</v>
      </c>
      <c r="D6" t="s">
        <v>53</v>
      </c>
      <c r="E6" t="s">
        <v>54</v>
      </c>
    </row>
    <row r="7" spans="1:5" x14ac:dyDescent="0.3">
      <c r="A7" t="s">
        <v>16</v>
      </c>
      <c r="B7" t="s">
        <v>55</v>
      </c>
      <c r="C7" t="s">
        <v>41</v>
      </c>
      <c r="D7" t="s">
        <v>56</v>
      </c>
      <c r="E7" t="s">
        <v>57</v>
      </c>
    </row>
    <row r="8" spans="1:5" x14ac:dyDescent="0.3">
      <c r="A8" t="s">
        <v>17</v>
      </c>
      <c r="B8" t="s">
        <v>58</v>
      </c>
      <c r="C8" t="s">
        <v>41</v>
      </c>
      <c r="D8" t="s">
        <v>42</v>
      </c>
      <c r="E8" t="s">
        <v>59</v>
      </c>
    </row>
    <row r="9" spans="1:5" x14ac:dyDescent="0.3">
      <c r="A9" t="s">
        <v>18</v>
      </c>
      <c r="B9" t="s">
        <v>60</v>
      </c>
      <c r="C9" t="s">
        <v>41</v>
      </c>
      <c r="D9" t="s">
        <v>61</v>
      </c>
      <c r="E9" t="s">
        <v>62</v>
      </c>
    </row>
    <row r="10" spans="1:5" x14ac:dyDescent="0.3">
      <c r="A10" t="s">
        <v>19</v>
      </c>
      <c r="B10" t="s">
        <v>63</v>
      </c>
      <c r="C10" t="s">
        <v>41</v>
      </c>
      <c r="D10" t="s">
        <v>64</v>
      </c>
      <c r="E10" t="s">
        <v>65</v>
      </c>
    </row>
    <row r="11" spans="1:5" x14ac:dyDescent="0.3">
      <c r="A11" t="s">
        <v>66</v>
      </c>
      <c r="B11" t="s">
        <v>67</v>
      </c>
      <c r="C11" t="s">
        <v>68</v>
      </c>
      <c r="D11" t="s">
        <v>69</v>
      </c>
      <c r="E11" t="s">
        <v>70</v>
      </c>
    </row>
    <row r="12" spans="1:5" x14ac:dyDescent="0.3">
      <c r="A12" t="s">
        <v>71</v>
      </c>
      <c r="B12" t="s">
        <v>67</v>
      </c>
      <c r="C12" t="s">
        <v>68</v>
      </c>
      <c r="D12" t="s">
        <v>72</v>
      </c>
      <c r="E12" t="s">
        <v>73</v>
      </c>
    </row>
    <row r="13" spans="1:5" x14ac:dyDescent="0.3">
      <c r="A13" t="s">
        <v>74</v>
      </c>
      <c r="B13" t="s">
        <v>67</v>
      </c>
      <c r="C13" t="s">
        <v>68</v>
      </c>
      <c r="D13" t="s">
        <v>75</v>
      </c>
      <c r="E13" t="s">
        <v>76</v>
      </c>
    </row>
    <row r="14" spans="1:5" x14ac:dyDescent="0.3">
      <c r="A14" t="s">
        <v>77</v>
      </c>
      <c r="B14" t="s">
        <v>67</v>
      </c>
      <c r="C14" t="s">
        <v>68</v>
      </c>
      <c r="D14" t="s">
        <v>78</v>
      </c>
      <c r="E14" t="s">
        <v>79</v>
      </c>
    </row>
    <row r="15" spans="1:5" x14ac:dyDescent="0.3">
      <c r="A15" t="s">
        <v>21</v>
      </c>
      <c r="B15" t="s">
        <v>80</v>
      </c>
      <c r="C15" t="s">
        <v>81</v>
      </c>
      <c r="D15" t="s">
        <v>82</v>
      </c>
      <c r="E15" t="s">
        <v>83</v>
      </c>
    </row>
    <row r="16" spans="1:5" x14ac:dyDescent="0.3">
      <c r="A16" t="s">
        <v>84</v>
      </c>
      <c r="B16" t="s">
        <v>85</v>
      </c>
      <c r="C16" t="s">
        <v>86</v>
      </c>
      <c r="D16" t="s">
        <v>87</v>
      </c>
      <c r="E16" t="s">
        <v>88</v>
      </c>
    </row>
    <row r="17" spans="1:5" x14ac:dyDescent="0.3">
      <c r="A17" t="s">
        <v>89</v>
      </c>
      <c r="B17" t="s">
        <v>90</v>
      </c>
      <c r="C17" t="s">
        <v>91</v>
      </c>
      <c r="D17" t="s">
        <v>92</v>
      </c>
      <c r="E17" t="s">
        <v>93</v>
      </c>
    </row>
    <row r="18" spans="1:5" x14ac:dyDescent="0.3">
      <c r="A18" t="s">
        <v>94</v>
      </c>
      <c r="B18" t="s">
        <v>95</v>
      </c>
      <c r="C18" t="s">
        <v>96</v>
      </c>
      <c r="D18" t="s">
        <v>97</v>
      </c>
      <c r="E18" t="s">
        <v>98</v>
      </c>
    </row>
    <row r="19" spans="1:5" x14ac:dyDescent="0.3">
      <c r="A19" t="s">
        <v>99</v>
      </c>
      <c r="B19" t="s">
        <v>100</v>
      </c>
      <c r="C19" t="s">
        <v>86</v>
      </c>
      <c r="D19" t="s">
        <v>87</v>
      </c>
      <c r="E19" t="s">
        <v>101</v>
      </c>
    </row>
    <row r="20" spans="1:5" x14ac:dyDescent="0.3">
      <c r="A20" t="s">
        <v>102</v>
      </c>
      <c r="B20" t="s">
        <v>103</v>
      </c>
      <c r="C20" t="s">
        <v>104</v>
      </c>
      <c r="D20" t="s">
        <v>105</v>
      </c>
      <c r="E20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Warfarin_Algorithms</vt:lpstr>
      <vt:lpstr>Coding_Guide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THRINADH KOTIKAM</cp:lastModifiedBy>
  <dcterms:created xsi:type="dcterms:W3CDTF">2025-11-18T09:57:54Z</dcterms:created>
  <dcterms:modified xsi:type="dcterms:W3CDTF">2025-11-18T13:34:38Z</dcterms:modified>
</cp:coreProperties>
</file>